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zibamahdi/Desktop/IMF RAP Portfolio/01_Final_Deliverables/"/>
    </mc:Choice>
  </mc:AlternateContent>
  <xr:revisionPtr revIDLastSave="0" documentId="13_ncr:1_{11999EBE-312A-1842-927E-9BEB4BEBC9E2}" xr6:coauthVersionLast="47" xr6:coauthVersionMax="47" xr10:uidLastSave="{00000000-0000-0000-0000-000000000000}"/>
  <bookViews>
    <workbookView xWindow="0" yWindow="500" windowWidth="24100" windowHeight="15440" tabRatio="500" activeTab="5" xr2:uid="{00000000-000D-0000-FFFF-FFFF00000000}"/>
  </bookViews>
  <sheets>
    <sheet name="README" sheetId="1" r:id="rId1"/>
    <sheet name="Inputs" sheetId="2" r:id="rId2"/>
    <sheet name="Scenarios" sheetId="3" r:id="rId3"/>
    <sheet name="Calculations" sheetId="4" r:id="rId4"/>
    <sheet name="Summary" sheetId="5" r:id="rId5"/>
    <sheet name="QA_Check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1" i="6" l="1"/>
  <c r="B9" i="6"/>
  <c r="B8" i="6"/>
  <c r="B7" i="6"/>
  <c r="B6" i="6"/>
  <c r="B5" i="6"/>
  <c r="B6" i="5"/>
  <c r="D25" i="4"/>
  <c r="C25" i="4"/>
  <c r="B25" i="4"/>
  <c r="B18" i="6" s="1"/>
  <c r="D18" i="4"/>
  <c r="C6" i="5" s="1"/>
  <c r="D15" i="4"/>
  <c r="C15" i="4"/>
  <c r="D14" i="4"/>
  <c r="C14" i="4"/>
  <c r="B14" i="4"/>
  <c r="C13" i="4"/>
  <c r="B13" i="4"/>
  <c r="C10" i="4"/>
  <c r="C18" i="4" s="1"/>
  <c r="B10" i="4"/>
  <c r="B18" i="4" s="1"/>
  <c r="D9" i="4"/>
  <c r="B30" i="6" s="1"/>
  <c r="B8" i="4"/>
  <c r="B21" i="6" s="1"/>
  <c r="D7" i="4"/>
  <c r="D19" i="4" s="1"/>
  <c r="C7" i="4"/>
  <c r="C19" i="4" s="1"/>
  <c r="D5" i="5" s="1"/>
  <c r="B12" i="3"/>
  <c r="B15" i="4" s="1"/>
  <c r="B20" i="4" s="1"/>
  <c r="E4" i="5" s="1"/>
  <c r="D58" i="2"/>
  <c r="C58" i="2"/>
  <c r="D8" i="4" s="1"/>
  <c r="B58" i="2"/>
  <c r="B50" i="2"/>
  <c r="D34" i="2"/>
  <c r="C9" i="4" s="1"/>
  <c r="C34" i="2"/>
  <c r="C8" i="4" s="1"/>
  <c r="B34" i="2"/>
  <c r="B26" i="2"/>
  <c r="D10" i="2"/>
  <c r="B9" i="4" s="1"/>
  <c r="C10" i="2"/>
  <c r="B10" i="2"/>
  <c r="B7" i="4" s="1"/>
  <c r="C5" i="5" l="1"/>
  <c r="C20" i="4"/>
  <c r="E5" i="5" s="1"/>
  <c r="B25" i="6"/>
  <c r="C22" i="5"/>
  <c r="C19" i="5"/>
  <c r="B5" i="5"/>
  <c r="C21" i="5"/>
  <c r="C20" i="5"/>
  <c r="B26" i="6"/>
  <c r="B20" i="6"/>
  <c r="B19" i="4"/>
  <c r="D4" i="5" s="1"/>
  <c r="D6" i="5"/>
  <c r="C4" i="5"/>
  <c r="B29" i="6"/>
  <c r="D20" i="4"/>
  <c r="E6" i="5" s="1"/>
  <c r="C14" i="5"/>
  <c r="C13" i="5"/>
  <c r="C16" i="5"/>
  <c r="B4" i="5"/>
  <c r="B22" i="6"/>
  <c r="B23" i="6"/>
  <c r="B24" i="6"/>
  <c r="B10" i="6"/>
  <c r="B27" i="6"/>
  <c r="B28" i="6"/>
  <c r="C15" i="5" l="1"/>
  <c r="C23" i="4"/>
  <c r="B23" i="4"/>
  <c r="D23" i="4"/>
  <c r="B12" i="6" l="1"/>
  <c r="F4" i="5"/>
  <c r="B32" i="6"/>
  <c r="C17" i="5"/>
  <c r="B24" i="4"/>
  <c r="D24" i="4"/>
  <c r="B36" i="6"/>
  <c r="F6" i="5"/>
  <c r="B14" i="6"/>
  <c r="F5" i="5"/>
  <c r="B34" i="6"/>
  <c r="B13" i="6"/>
  <c r="C23" i="5"/>
  <c r="C24" i="4"/>
  <c r="G5" i="5" l="1"/>
  <c r="B35" i="6"/>
  <c r="B16" i="6"/>
  <c r="B37" i="6"/>
  <c r="G6" i="5"/>
  <c r="B17" i="6"/>
  <c r="G4" i="5"/>
  <c r="B33" i="6"/>
  <c r="B39" i="6" s="1"/>
  <c r="B15" i="6"/>
</calcChain>
</file>

<file path=xl/sharedStrings.xml><?xml version="1.0" encoding="utf-8"?>
<sst xmlns="http://schemas.openxmlformats.org/spreadsheetml/2006/main" count="253" uniqueCount="168">
  <si>
    <t>External Stress Test — Bangladesh, Pakistan, Vietnam</t>
  </si>
  <si>
    <t>Research question</t>
  </si>
  <si>
    <t>How did Bangladesh's exchange-rate and reserve pressure dynamics evolve around the May 2025 move toward a more flexible exchange-rate arrangement, and what does a simple external-shock stress test suggest about remaining vulnerabilities? This workbook implements the four-quarter stylized stress-test component.</t>
  </si>
  <si>
    <t>This is a stylized mechanical scenario exercise, NOT a forecast.</t>
  </si>
  <si>
    <t>No causal inference, econometric estimation, or forecasting is performed anywhere in this workbook. Every figure is the arithmetic result of applying a fixed, stated percentage shock to an observed historical baseline.</t>
  </si>
  <si>
    <t>Baseline period and horizon</t>
  </si>
  <si>
    <t>Baseline: 2025-Q2 to 2026-Q1 (the latest available common observed quarterly window). Horizon: 4 quarters.</t>
  </si>
  <si>
    <t>Locked shocks (see Scenarios sheet for the editable assumption cells)</t>
  </si>
  <si>
    <t>• Remittances: -10% (Bangladesh and Pakistan only)</t>
  </si>
  <si>
    <t>• Goods exports: -5% (all three countries)</t>
  </si>
  <si>
    <t>• Global energy-price proxy: +10%, mechanically translated into a stylized +10% increase in goods-import value</t>
  </si>
  <si>
    <t>On the energy-price proxy</t>
  </si>
  <si>
    <t>The IMF PCPS Energy Index used here is a GLOBAL energy-price shock proxy, not a country-specific import-price index. Applied identically to all three countries as a stated simplification.</t>
  </si>
  <si>
    <t>Import-price transmission assumption</t>
  </si>
  <si>
    <t>"+10% global energy-price shock -&gt; stylized +10% increase in goods-import value, holding real import quantities constant." IMPOSED SIMPLIFYING ASSUMPTION, NOT an estimated pass-through coefficient. The Scenarios sheet shows the energy shock and the transmission rate as separate, auditable cells.</t>
  </si>
  <si>
    <t>On Vietnam and remittances</t>
  </si>
  <si>
    <t>Vietnam does NOT receive a remittance shock. No suitable nationwide monthly primary remittance series was located (UNRESOLVED). Shown as "N/A" throughout, never zero, never fabricated.</t>
  </si>
  <si>
    <t>On reserves</t>
  </si>
  <si>
    <t>No reserve-loss forecast is produced. Results show mechanically implied cumulative external-balance deterioration — not a reserve number. Financing, exchange-rate adjustment, capital flows, valuation effects, and policy response are not modeled.</t>
  </si>
  <si>
    <t>Sheets in this workbook</t>
  </si>
  <si>
    <t>• Inputs — observed baseline data, with formula-based totals</t>
  </si>
  <si>
    <t>• Scenarios — editable, clearly labeled assumption cells</t>
  </si>
  <si>
    <t>• Calculations — formula-driven, fully auditable</t>
  </si>
  <si>
    <t>• Summary — reviewer-facing results tables</t>
  </si>
  <si>
    <t>• QA_Checks — automated PASS/FAIL verification</t>
  </si>
  <si>
    <t>Source / provenance</t>
  </si>
  <si>
    <t>• data/derived/master_analytical_dataset.csv</t>
  </si>
  <si>
    <t>• data/derived/gate3_stress_test.csv</t>
  </si>
  <si>
    <t>• STRESS_TEST.md</t>
  </si>
  <si>
    <t>• FINAL_RESULTS_LOCKED.md</t>
  </si>
  <si>
    <t>• RESEARCH_LEDGER.md</t>
  </si>
  <si>
    <t>INPUTS — Observed Baseline Data (verified, from master_analytical_dataset.csv)</t>
  </si>
  <si>
    <t>Blue = raw observed input. Values USD million unless noted. TOTAL rows use SUM formulas.</t>
  </si>
  <si>
    <t>BANGLADESH</t>
  </si>
  <si>
    <t>Quarter</t>
  </si>
  <si>
    <t>Goods Exports</t>
  </si>
  <si>
    <t>Goods Imports</t>
  </si>
  <si>
    <t>Current Account</t>
  </si>
  <si>
    <t>2025-Q2</t>
  </si>
  <si>
    <t>2025-Q3</t>
  </si>
  <si>
    <t>2025-Q4</t>
  </si>
  <si>
    <t>2026-Q1</t>
  </si>
  <si>
    <t>TOTAL (4Q baseline)</t>
  </si>
  <si>
    <t>Bangladesh Remittances (monthly, for 12-month baseline)</t>
  </si>
  <si>
    <t>Month</t>
  </si>
  <si>
    <t>Remittances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</si>
  <si>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</si>
  <si>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</si>
  <si>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</si>
  <si>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</si>
  <si>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</si>
  <si>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</si>
  <si>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</si>
  <si>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</si>
  <si>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</si>
  <si>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</si>
  <si>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</si>
  <si>
    <t>2026-M03</t>
  </si>
  <si>
    <t>TOTAL (12-month baseline)</t>
  </si>
  <si>
    <t>PAKISTAN</t>
  </si>
  <si>
    <t>Pakistan Remittances (monthly, for 12-month baseline)</t>
  </si>
  <si>
    <t>VIETNAM</t>
  </si>
  <si>
    <t>Vietnam Remittances</t>
  </si>
  <si>
    <t>N/A — UNRESOLVED. No suitable nationwide monthly primary remittance series was located for Vietnam (see RESEARCH_LEDGER.md). Not zero. Not fabricated or substituted from regional (Ho Chi Minh City) or annual data.</t>
  </si>
  <si>
    <t>GLOBAL ENERGY-PRICE INDEX (contextual input — NOT a country-specific import-price index)</t>
  </si>
  <si>
    <t>Energy Price Index (2016=100)</t>
  </si>
  <si>
    <t>Source: IMF PCPS, series G001.PNRG.INDEX.M — context only.</t>
  </si>
  <si>
    <t>SCENARIOS — Locked Assumptions</t>
  </si>
  <si>
    <t>Yellow cells are the editable SHOCK assumption inputs. All downstream calculations reference these cells. The horizon (grey) is a fixed methodological parameter, not an editable scenario assumption — the Inputs sheet's baseline is built from a specific, hard-coded set of four quarters/twelve months, so changing this cell alone would not actually change which observations are pulled.</t>
  </si>
  <si>
    <t>Assumption</t>
  </si>
  <si>
    <t>Value</t>
  </si>
  <si>
    <t>Note</t>
  </si>
  <si>
    <t>Remittance shock (%)</t>
  </si>
  <si>
    <t>Applied to Bangladesh and Pakistan only. Vietnam: N/A.</t>
  </si>
  <si>
    <t>Export shock (%)</t>
  </si>
  <si>
    <t>Applied to all three countries.</t>
  </si>
  <si>
    <t>Global energy-price shock (%)</t>
  </si>
  <si>
    <t>Magnitude of the global PCPS energy-price proxy shock. NOT country-specific.</t>
  </si>
  <si>
    <t>Import-price transmission / pass-through rate (%)</t>
  </si>
  <si>
    <t>Real import quantities held constant; 100% pass-through into import VALUE. IMPOSED SIMPLIFYING ASSUMPTION, not an estimated coefficient.</t>
  </si>
  <si>
    <t>Horizon (quarters)</t>
  </si>
  <si>
    <t>FIXED methodological parameter, not an editable scenario assumption — the baseline is the latest observed 4-quarter/12-month window, a structural choice tied to data availability, not a shock magnitude. Shown for reference only.</t>
  </si>
  <si>
    <t>Derived (formula, not an additional assumption):</t>
  </si>
  <si>
    <t>Import-value shock (%) = Energy shock x Transmission rate</t>
  </si>
  <si>
    <t>"+10% global energy-price shock -&gt; stylized +10% increase in goods-import value, holding real import quantities constant."</t>
  </si>
  <si>
    <t>This is an imposed simplifying assumption, NOT an estimated pass-through coefficient.</t>
  </si>
  <si>
    <t>CALCULATIONS — Fully Formula-Driven (references Inputs and Scenarios sheets)</t>
  </si>
  <si>
    <t>Green = link to another sheet. Recalculates automatically if Inputs or Scenarios change.</t>
  </si>
  <si>
    <t>Metric</t>
  </si>
  <si>
    <t>Bangladesh</t>
  </si>
  <si>
    <t>Pakistan</t>
  </si>
  <si>
    <t>Vietnam</t>
  </si>
  <si>
    <t>Baseline (4-quarter / 12-month totals, linked from Inputs)</t>
  </si>
  <si>
    <t>Baseline goods exports</t>
  </si>
  <si>
    <t>Baseline goods imports</t>
  </si>
  <si>
    <t>Baseline current account</t>
  </si>
  <si>
    <t>Baseline remittances (12mo)</t>
  </si>
  <si>
    <t>N/A - UNRESOLVED</t>
  </si>
  <si>
    <t>Scenario shock magnitudes (linked from Scenarios)</t>
  </si>
  <si>
    <t>N/A</t>
  </si>
  <si>
    <t>Import-value shock (%) [energy x transmission]</t>
  </si>
  <si>
    <t>Shock amounts ($ million; negative = deterioration)</t>
  </si>
  <si>
    <t>Remittance shock amount</t>
  </si>
  <si>
    <t>Export shock amount</t>
  </si>
  <si>
    <t>Import-price shock amount</t>
  </si>
  <si>
    <t>Combined deterioration and mechanically shocked current account</t>
  </si>
  <si>
    <t>Combined external-account deterioration</t>
  </si>
  <si>
    <t>Mechanically shocked current account</t>
  </si>
  <si>
    <t>SUMMARY — Reviewer-Facing Results (all figures link to Calculations sheet)</t>
  </si>
  <si>
    <t>Country</t>
  </si>
  <si>
    <t>Baseline CA</t>
  </si>
  <si>
    <t>Remittance shock</t>
  </si>
  <si>
    <t>Export shock</t>
  </si>
  <si>
    <t>Import-price shock</t>
  </si>
  <si>
    <t>Combined deterioration</t>
  </si>
  <si>
    <t>Mechanically shocked CA</t>
  </si>
  <si>
    <t>Vietnam combined scenario = Export + import-price only</t>
  </si>
  <si>
    <t>Note: Vietnam does not include a remittance shock because no suitable nationwide monthly remittance series was available.</t>
  </si>
  <si>
    <t>Bangladesh and Pakistan — individual scenario detail (mechanically shocked CA under each scenario)</t>
  </si>
  <si>
    <t>Scenario</t>
  </si>
  <si>
    <t>Baseline</t>
  </si>
  <si>
    <t>Remittance shock only</t>
  </si>
  <si>
    <t>Export shock only</t>
  </si>
  <si>
    <t>Import-price shock only</t>
  </si>
  <si>
    <t>Combined</t>
  </si>
  <si>
    <t>QA_CHECKS — Automated Verification</t>
  </si>
  <si>
    <t>All checks are formulas. Reference values (blue) are cited from the project's finalized files.</t>
  </si>
  <si>
    <t>Check</t>
  </si>
  <si>
    <t>Result</t>
  </si>
  <si>
    <t>Reference value</t>
  </si>
  <si>
    <t>1. Bangladesh: 4 quarterly observations exist</t>
  </si>
  <si>
    <t>1. Pakistan: 4 quarterly observations exist</t>
  </si>
  <si>
    <t>1. Vietnam: 4 quarterly observations exist</t>
  </si>
  <si>
    <t>2. Bangladesh: 12 monthly remittance observations exist</t>
  </si>
  <si>
    <t>2. Pakistan: 12 monthly remittance observations exist</t>
  </si>
  <si>
    <t>3. Vietnam remittances are marked N/A, not zero</t>
  </si>
  <si>
    <t>3b. Vietnam remittance shock assumption (%) displays as text "N/A", not a numeric percentage</t>
  </si>
  <si>
    <t>4. Bangladesh: combined = sum of individual shocks</t>
  </si>
  <si>
    <t>4. Pakistan: combined = sum of individual shocks</t>
  </si>
  <si>
    <t>4. Vietnam: combined = sum of applicable shocks (export+import-price only)</t>
  </si>
  <si>
    <t>5. Bangladesh: shocked CA = baseline CA + combined deterioration</t>
  </si>
  <si>
    <t>5. Pakistan: shocked CA = baseline CA + combined deterioration</t>
  </si>
  <si>
    <t>5. Vietnam: shocked CA = baseline CA + combined deterioration</t>
  </si>
  <si>
    <t>6. Horizon equals 4 quarters (all countries)</t>
  </si>
  <si>
    <t>7. Baseline inputs match data/derived/gate3_stress_test.csv</t>
  </si>
  <si>
    <t xml:space="preserve">    Bangladesh baseline exports</t>
  </si>
  <si>
    <t>Source: gate3_stress_test.csv</t>
  </si>
  <si>
    <t xml:space="preserve">    Bangladesh baseline imports</t>
  </si>
  <si>
    <t xml:space="preserve">    Bangladesh baseline CA</t>
  </si>
  <si>
    <t xml:space="preserve">    Bangladesh baseline remittances</t>
  </si>
  <si>
    <t>34748.87</t>
  </si>
  <si>
    <t xml:space="preserve">    Pakistan baseline exports</t>
  </si>
  <si>
    <t xml:space="preserve">    Pakistan baseline imports</t>
  </si>
  <si>
    <t xml:space="preserve">    Pakistan baseline CA</t>
  </si>
  <si>
    <t xml:space="preserve">    Pakistan baseline remittances</t>
  </si>
  <si>
    <t>40589.86</t>
  </si>
  <si>
    <t xml:space="preserve">    Vietnam baseline exports</t>
  </si>
  <si>
    <t xml:space="preserve">    Vietnam baseline imports</t>
  </si>
  <si>
    <t xml:space="preserve">    Vietnam baseline CA</t>
  </si>
  <si>
    <t>8. Workbook results match the verified Gate 3 reference values (from gate3_stress_test.csv, consistent with FINAL_RESULTS_LOCKED.md R-005)</t>
  </si>
  <si>
    <t xml:space="preserve">    Bangladesh combined deterioration</t>
  </si>
  <si>
    <t>Source: gate3_stress_test.csv (consistent with FINAL_RESULTS_LOCKED.md R-005)</t>
  </si>
  <si>
    <t xml:space="preserve">    Bangladesh shocked CA</t>
  </si>
  <si>
    <t xml:space="preserve">    Pakistan combined deterioration</t>
  </si>
  <si>
    <t xml:space="preserve">    Pakistan shocked CA</t>
  </si>
  <si>
    <t xml:space="preserve">    Vietnam combined deterioration (2-shock)</t>
  </si>
  <si>
    <t xml:space="preserve">    Vietnam shocked CA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</si>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</sst>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0.0%"/>
  </numFmts>
  <fonts count="1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i/>
      <sz val="9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b/>
      <i/>
      <sz val="11"/>
      <name val="Arial"/>
      <charset val="1"/>
    </font>
    <font>
      <b/>
      <sz val="11"/>
      <color rgb="FF0000FF"/>
      <name val="Arial"/>
      <charset val="1"/>
    </font>
    <font>
      <b/>
      <sz val="11"/>
      <color rgb="FF000000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b/>
      <sz val="12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E1F2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3" borderId="0" xfId="0" applyFont="1" applyFill="1"/>
    <xf numFmtId="0" fontId="7" fillId="0" borderId="0" xfId="0" applyFont="1"/>
    <xf numFmtId="164" fontId="8" fillId="0" borderId="0" xfId="0" applyNumberFormat="1" applyFont="1"/>
    <xf numFmtId="164" fontId="2" fillId="4" borderId="0" xfId="0" applyNumberFormat="1" applyFont="1" applyFill="1"/>
    <xf numFmtId="0" fontId="9" fillId="0" borderId="0" xfId="0" applyFont="1"/>
    <xf numFmtId="0" fontId="3" fillId="5" borderId="0" xfId="0" applyFont="1" applyFill="1" applyAlignment="1">
      <alignment vertical="top" wrapText="1"/>
    </xf>
    <xf numFmtId="0" fontId="0" fillId="5" borderId="0" xfId="0" applyFill="1"/>
    <xf numFmtId="0" fontId="6" fillId="2" borderId="0" xfId="0" applyFont="1" applyFill="1"/>
    <xf numFmtId="165" fontId="10" fillId="6" borderId="0" xfId="0" applyNumberFormat="1" applyFont="1" applyFill="1"/>
    <xf numFmtId="0" fontId="11" fillId="7" borderId="0" xfId="0" applyFont="1" applyFill="1"/>
    <xf numFmtId="165" fontId="7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" fontId="12" fillId="0" borderId="0" xfId="0" applyNumberFormat="1" applyFont="1"/>
    <xf numFmtId="164" fontId="13" fillId="4" borderId="0" xfId="0" applyNumberFormat="1" applyFont="1" applyFill="1"/>
    <xf numFmtId="0" fontId="14" fillId="0" borderId="0" xfId="0" applyFont="1"/>
    <xf numFmtId="0" fontId="14" fillId="8" borderId="0" xfId="0" applyFont="1" applyFill="1"/>
  </cellXfs>
  <cellStyles count="1">
    <cellStyle name="Normal" xfId="0" builtinId="0"/>
  </cellStyles>
  <dxfs count="4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2E7D32"/>
      <rgbColor rgb="FF0061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A41"/>
  <sheetViews>
    <sheetView showGridLines="0" topLeftCell="A26" zoomScaleNormal="100" workbookViewId="0">
      <selection activeCell="A6" sqref="A6"/>
    </sheetView>
  </sheetViews>
  <sheetFormatPr baseColWidth="10" defaultColWidth="8.6640625" defaultRowHeight="15" x14ac:dyDescent="0.2"/>
  <cols>
    <col min="1" max="1" width="95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ht="45" customHeight="1" x14ac:dyDescent="0.2">
      <c r="A4" s="3" t="s">
        <v>2</v>
      </c>
    </row>
    <row r="6" spans="1:1" x14ac:dyDescent="0.2">
      <c r="A6" s="4" t="s">
        <v>3</v>
      </c>
    </row>
    <row r="7" spans="1:1" ht="30" customHeight="1" x14ac:dyDescent="0.2">
      <c r="A7" s="3" t="s">
        <v>4</v>
      </c>
    </row>
    <row r="9" spans="1:1" x14ac:dyDescent="0.2">
      <c r="A9" s="2" t="s">
        <v>5</v>
      </c>
    </row>
    <row r="10" spans="1:1" x14ac:dyDescent="0.2">
      <c r="A10" t="s">
        <v>6</v>
      </c>
    </row>
    <row r="12" spans="1:1" x14ac:dyDescent="0.2">
      <c r="A12" s="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7" spans="1:1" x14ac:dyDescent="0.2">
      <c r="A17" s="2" t="s">
        <v>11</v>
      </c>
    </row>
    <row r="18" spans="1:1" ht="30" customHeight="1" x14ac:dyDescent="0.2">
      <c r="A18" s="3" t="s">
        <v>12</v>
      </c>
    </row>
    <row r="20" spans="1:1" x14ac:dyDescent="0.2">
      <c r="A20" s="2" t="s">
        <v>13</v>
      </c>
    </row>
    <row r="21" spans="1:1" ht="45" customHeight="1" x14ac:dyDescent="0.2">
      <c r="A21" s="3" t="s">
        <v>14</v>
      </c>
    </row>
    <row r="23" spans="1:1" x14ac:dyDescent="0.2">
      <c r="A23" s="2" t="s">
        <v>15</v>
      </c>
    </row>
    <row r="24" spans="1:1" ht="30" customHeight="1" x14ac:dyDescent="0.2">
      <c r="A24" s="3" t="s">
        <v>16</v>
      </c>
    </row>
    <row r="26" spans="1:1" x14ac:dyDescent="0.2">
      <c r="A26" s="2" t="s">
        <v>17</v>
      </c>
    </row>
    <row r="27" spans="1:1" ht="45" customHeight="1" x14ac:dyDescent="0.2">
      <c r="A27" s="3" t="s">
        <v>18</v>
      </c>
    </row>
    <row r="29" spans="1:1" x14ac:dyDescent="0.2">
      <c r="A29" s="2" t="s">
        <v>19</v>
      </c>
    </row>
    <row r="30" spans="1:1" x14ac:dyDescent="0.2">
      <c r="A30" t="s">
        <v>20</v>
      </c>
    </row>
    <row r="31" spans="1:1" x14ac:dyDescent="0.2">
      <c r="A31" t="s">
        <v>21</v>
      </c>
    </row>
    <row r="32" spans="1:1" x14ac:dyDescent="0.2">
      <c r="A32" t="s">
        <v>22</v>
      </c>
    </row>
    <row r="33" spans="1:1" x14ac:dyDescent="0.2">
      <c r="A33" t="s">
        <v>23</v>
      </c>
    </row>
    <row r="34" spans="1:1" x14ac:dyDescent="0.2">
      <c r="A34" t="s">
        <v>24</v>
      </c>
    </row>
    <row r="36" spans="1:1" x14ac:dyDescent="0.2">
      <c r="A36" s="2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28</v>
      </c>
    </row>
    <row r="40" spans="1:1" x14ac:dyDescent="0.2">
      <c r="A40" t="s">
        <v>29</v>
      </c>
    </row>
    <row r="41" spans="1:1" x14ac:dyDescent="0.2">
      <c r="A41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D77"/>
  <sheetViews>
    <sheetView showGridLines="0" zoomScaleNormal="100" workbookViewId="0">
      <pane ySplit="1" topLeftCell="A52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4" width="18" customWidth="1"/>
  </cols>
  <sheetData>
    <row r="1" spans="1:4" ht="18" x14ac:dyDescent="0.2">
      <c r="A1" s="1" t="s">
        <v>31</v>
      </c>
    </row>
    <row r="2" spans="1:4" x14ac:dyDescent="0.2">
      <c r="A2" s="5" t="s">
        <v>32</v>
      </c>
    </row>
    <row r="4" spans="1:4" ht="16" x14ac:dyDescent="0.2">
      <c r="A4" s="6" t="s">
        <v>33</v>
      </c>
      <c r="B4" s="7"/>
      <c r="C4" s="7"/>
      <c r="D4" s="7"/>
    </row>
    <row r="5" spans="1:4" x14ac:dyDescent="0.2">
      <c r="A5" s="8" t="s">
        <v>34</v>
      </c>
      <c r="B5" s="8" t="s">
        <v>35</v>
      </c>
      <c r="C5" s="8" t="s">
        <v>36</v>
      </c>
      <c r="D5" s="8" t="s">
        <v>37</v>
      </c>
    </row>
    <row r="6" spans="1:4" x14ac:dyDescent="0.2">
      <c r="A6" s="9" t="s">
        <v>38</v>
      </c>
      <c r="B6" s="10">
        <v>10098.1768868607</v>
      </c>
      <c r="C6" s="10">
        <v>15045.779879780701</v>
      </c>
      <c r="D6" s="10">
        <v>743.97102027520896</v>
      </c>
    </row>
    <row r="7" spans="1:4" x14ac:dyDescent="0.2">
      <c r="A7" s="9" t="s">
        <v>39</v>
      </c>
      <c r="B7" s="10">
        <v>11085.6197249622</v>
      </c>
      <c r="C7" s="10">
        <v>16799.3996629965</v>
      </c>
      <c r="D7" s="10">
        <v>-819.43608268907701</v>
      </c>
    </row>
    <row r="8" spans="1:4" x14ac:dyDescent="0.2">
      <c r="A8" s="9" t="s">
        <v>40</v>
      </c>
      <c r="B8" s="10">
        <v>11036.5684907128</v>
      </c>
      <c r="C8" s="10">
        <v>16878.168875618401</v>
      </c>
      <c r="D8" s="10">
        <v>233.40741506540999</v>
      </c>
    </row>
    <row r="9" spans="1:4" x14ac:dyDescent="0.2">
      <c r="A9" s="9" t="s">
        <v>41</v>
      </c>
      <c r="B9" s="10">
        <v>10256.8464203029</v>
      </c>
      <c r="C9" s="10">
        <v>17870.616463144801</v>
      </c>
      <c r="D9" s="10">
        <v>3.06701668499394</v>
      </c>
    </row>
    <row r="10" spans="1:4" x14ac:dyDescent="0.2">
      <c r="A10" s="2" t="s">
        <v>42</v>
      </c>
      <c r="B10" s="11">
        <f>SUM(B6:B9)</f>
        <v>42477.211522838603</v>
      </c>
      <c r="C10" s="11">
        <f>SUM(C6:C9)</f>
        <v>66593.964881540407</v>
      </c>
      <c r="D10" s="11">
        <f>SUM(D6:D9)</f>
        <v>161.00936933653588</v>
      </c>
    </row>
    <row r="12" spans="1:4" x14ac:dyDescent="0.2">
      <c r="A12" s="12" t="s">
        <v>43</v>
      </c>
    </row>
    <row r="13" spans="1:4" x14ac:dyDescent="0.2">
      <c r="A13" s="8" t="s">
        <v>44</v>
      </c>
      <c r="B13" s="8" t="s">
        <v>45</v>
      </c>
    </row>
    <row r="14" spans="1:4" x14ac:dyDescent="0.2">
      <c r="A14" s="9" t="s">
        <v>46</v>
      </c>
      <c r="B14" s="10">
        <v>2752.33</v>
      </c>
    </row>
    <row r="15" spans="1:4" x14ac:dyDescent="0.2">
      <c r="A15" s="9" t="s">
        <v>47</v>
      </c>
      <c r="B15" s="10">
        <v>2969.56</v>
      </c>
    </row>
    <row r="16" spans="1:4" x14ac:dyDescent="0.2">
      <c r="A16" s="9" t="s">
        <v>48</v>
      </c>
      <c r="B16" s="10">
        <v>2822.53</v>
      </c>
    </row>
    <row r="17" spans="1:4" x14ac:dyDescent="0.2">
      <c r="A17" s="9" t="s">
        <v>49</v>
      </c>
      <c r="B17" s="10">
        <v>2477.87</v>
      </c>
    </row>
    <row r="18" spans="1:4" x14ac:dyDescent="0.2">
      <c r="A18" s="9" t="s">
        <v>50</v>
      </c>
      <c r="B18" s="10">
        <v>2421.89</v>
      </c>
    </row>
    <row r="19" spans="1:4" x14ac:dyDescent="0.2">
      <c r="A19" s="9" t="s">
        <v>51</v>
      </c>
      <c r="B19" s="10">
        <v>2685.56</v>
      </c>
    </row>
    <row r="20" spans="1:4" x14ac:dyDescent="0.2">
      <c r="A20" s="9" t="s">
        <v>52</v>
      </c>
      <c r="B20" s="10">
        <v>2562.44</v>
      </c>
    </row>
    <row r="21" spans="1:4" x14ac:dyDescent="0.2">
      <c r="A21" s="9" t="s">
        <v>53</v>
      </c>
      <c r="B21" s="10">
        <v>2889.73</v>
      </c>
    </row>
    <row r="22" spans="1:4" x14ac:dyDescent="0.2">
      <c r="A22" s="9" t="s">
        <v>54</v>
      </c>
      <c r="B22" s="10">
        <v>3223.67</v>
      </c>
    </row>
    <row r="23" spans="1:4" x14ac:dyDescent="0.2">
      <c r="A23" s="9" t="s">
        <v>55</v>
      </c>
      <c r="B23" s="10">
        <v>3171.63</v>
      </c>
    </row>
    <row r="24" spans="1:4" x14ac:dyDescent="0.2">
      <c r="A24" s="9" t="s">
        <v>56</v>
      </c>
      <c r="B24" s="10">
        <v>3019.45</v>
      </c>
    </row>
    <row r="25" spans="1:4" x14ac:dyDescent="0.2">
      <c r="A25" s="9" t="s">
        <v>57</v>
      </c>
      <c r="B25" s="10">
        <v>3752.21</v>
      </c>
    </row>
    <row r="26" spans="1:4" x14ac:dyDescent="0.2">
      <c r="A26" s="2" t="s">
        <v>58</v>
      </c>
      <c r="B26" s="11">
        <f>SUM(B14:B25)</f>
        <v>34748.870000000003</v>
      </c>
    </row>
    <row r="28" spans="1:4" ht="16" x14ac:dyDescent="0.2">
      <c r="A28" s="6" t="s">
        <v>59</v>
      </c>
      <c r="B28" s="7"/>
      <c r="C28" s="7"/>
      <c r="D28" s="7"/>
    </row>
    <row r="29" spans="1:4" x14ac:dyDescent="0.2">
      <c r="A29" s="8" t="s">
        <v>34</v>
      </c>
      <c r="B29" s="8" t="s">
        <v>35</v>
      </c>
      <c r="C29" s="8" t="s">
        <v>36</v>
      </c>
      <c r="D29" s="8" t="s">
        <v>37</v>
      </c>
    </row>
    <row r="30" spans="1:4" x14ac:dyDescent="0.2">
      <c r="A30" s="9" t="s">
        <v>38</v>
      </c>
      <c r="B30" s="10">
        <v>7641</v>
      </c>
      <c r="C30" s="10">
        <v>15767</v>
      </c>
      <c r="D30" s="10">
        <v>164.00239999999999</v>
      </c>
    </row>
    <row r="31" spans="1:4" x14ac:dyDescent="0.2">
      <c r="A31" s="9" t="s">
        <v>39</v>
      </c>
      <c r="B31" s="10">
        <v>7847</v>
      </c>
      <c r="C31" s="10">
        <v>15489</v>
      </c>
      <c r="D31" s="10">
        <v>-736.99980000000005</v>
      </c>
    </row>
    <row r="32" spans="1:4" x14ac:dyDescent="0.2">
      <c r="A32" s="9" t="s">
        <v>40</v>
      </c>
      <c r="B32" s="10">
        <v>7667</v>
      </c>
      <c r="C32" s="10">
        <v>15891</v>
      </c>
      <c r="D32" s="10">
        <v>-623.99959999999999</v>
      </c>
    </row>
    <row r="33" spans="1:4" x14ac:dyDescent="0.2">
      <c r="A33" s="9" t="s">
        <v>41</v>
      </c>
      <c r="B33" s="10">
        <v>7758</v>
      </c>
      <c r="C33" s="10">
        <v>15310</v>
      </c>
      <c r="D33" s="10">
        <v>1646.9818</v>
      </c>
    </row>
    <row r="34" spans="1:4" x14ac:dyDescent="0.2">
      <c r="A34" s="2" t="s">
        <v>42</v>
      </c>
      <c r="B34" s="11">
        <f>SUM(B30:B33)</f>
        <v>30913</v>
      </c>
      <c r="C34" s="11">
        <f>SUM(C30:C33)</f>
        <v>62457</v>
      </c>
      <c r="D34" s="11">
        <f>SUM(D30:D33)</f>
        <v>449.98479999999995</v>
      </c>
    </row>
    <row r="36" spans="1:4" x14ac:dyDescent="0.2">
      <c r="A36" s="12" t="s">
        <v>60</v>
      </c>
    </row>
    <row r="37" spans="1:4" x14ac:dyDescent="0.2">
      <c r="A37" s="8" t="s">
        <v>44</v>
      </c>
      <c r="B37" s="8" t="s">
        <v>45</v>
      </c>
    </row>
    <row r="38" spans="1:4" x14ac:dyDescent="0.2">
      <c r="A38" s="9" t="s">
        <v>46</v>
      </c>
      <c r="B38" s="10">
        <v>3176.93</v>
      </c>
    </row>
    <row r="39" spans="1:4" x14ac:dyDescent="0.2">
      <c r="A39" s="9" t="s">
        <v>47</v>
      </c>
      <c r="B39" s="10">
        <v>3685.5884759999999</v>
      </c>
    </row>
    <row r="40" spans="1:4" x14ac:dyDescent="0.2">
      <c r="A40" s="9" t="s">
        <v>48</v>
      </c>
      <c r="B40" s="10">
        <v>3406.389361</v>
      </c>
    </row>
    <row r="41" spans="1:4" x14ac:dyDescent="0.2">
      <c r="A41" s="9" t="s">
        <v>49</v>
      </c>
      <c r="B41" s="10">
        <v>3214.5144620000001</v>
      </c>
    </row>
    <row r="42" spans="1:4" x14ac:dyDescent="0.2">
      <c r="A42" s="9" t="s">
        <v>50</v>
      </c>
      <c r="B42" s="10">
        <v>3138.1747869999999</v>
      </c>
    </row>
    <row r="43" spans="1:4" x14ac:dyDescent="0.2">
      <c r="A43" s="9" t="s">
        <v>51</v>
      </c>
      <c r="B43" s="10">
        <v>3184.1239609999998</v>
      </c>
    </row>
    <row r="44" spans="1:4" x14ac:dyDescent="0.2">
      <c r="A44" s="9" t="s">
        <v>52</v>
      </c>
      <c r="B44" s="10">
        <v>3419.6136099999999</v>
      </c>
    </row>
    <row r="45" spans="1:4" x14ac:dyDescent="0.2">
      <c r="A45" s="9" t="s">
        <v>53</v>
      </c>
      <c r="B45" s="10">
        <v>3188.337716</v>
      </c>
    </row>
    <row r="46" spans="1:4" x14ac:dyDescent="0.2">
      <c r="A46" s="9" t="s">
        <v>54</v>
      </c>
      <c r="B46" s="10">
        <v>3592.4427219999998</v>
      </c>
    </row>
    <row r="47" spans="1:4" x14ac:dyDescent="0.2">
      <c r="A47" s="9" t="s">
        <v>55</v>
      </c>
      <c r="B47" s="10">
        <v>3464.4680939999998</v>
      </c>
    </row>
    <row r="48" spans="1:4" x14ac:dyDescent="0.2">
      <c r="A48" s="9" t="s">
        <v>56</v>
      </c>
      <c r="B48" s="10">
        <v>3287.8728470000001</v>
      </c>
    </row>
    <row r="49" spans="1:4" x14ac:dyDescent="0.2">
      <c r="A49" s="9" t="s">
        <v>57</v>
      </c>
      <c r="B49" s="10">
        <v>3831.4051020000002</v>
      </c>
    </row>
    <row r="50" spans="1:4" x14ac:dyDescent="0.2">
      <c r="A50" s="2" t="s">
        <v>58</v>
      </c>
      <c r="B50" s="11">
        <f>SUM(B38:B49)</f>
        <v>40589.861137999993</v>
      </c>
    </row>
    <row r="52" spans="1:4" ht="16" x14ac:dyDescent="0.2">
      <c r="A52" s="6" t="s">
        <v>61</v>
      </c>
      <c r="B52" s="7"/>
      <c r="C52" s="7"/>
      <c r="D52" s="7"/>
    </row>
    <row r="53" spans="1:4" x14ac:dyDescent="0.2">
      <c r="A53" s="8" t="s">
        <v>34</v>
      </c>
      <c r="B53" s="8" t="s">
        <v>35</v>
      </c>
      <c r="C53" s="8" t="s">
        <v>36</v>
      </c>
      <c r="D53" s="8" t="s">
        <v>37</v>
      </c>
    </row>
    <row r="54" spans="1:4" x14ac:dyDescent="0.2">
      <c r="A54" s="9" t="s">
        <v>38</v>
      </c>
      <c r="B54" s="10">
        <v>116988</v>
      </c>
      <c r="C54" s="10">
        <v>107203</v>
      </c>
      <c r="D54" s="10">
        <v>7494</v>
      </c>
    </row>
    <row r="55" spans="1:4" x14ac:dyDescent="0.2">
      <c r="A55" s="9" t="s">
        <v>39</v>
      </c>
      <c r="B55" s="10">
        <v>128521</v>
      </c>
      <c r="C55" s="10">
        <v>113904</v>
      </c>
      <c r="D55" s="10">
        <v>13159</v>
      </c>
    </row>
    <row r="56" spans="1:4" x14ac:dyDescent="0.2">
      <c r="A56" s="9" t="s">
        <v>40</v>
      </c>
      <c r="B56" s="10">
        <v>126318</v>
      </c>
      <c r="C56" s="10">
        <v>117183</v>
      </c>
      <c r="D56" s="10">
        <v>7654</v>
      </c>
    </row>
    <row r="57" spans="1:4" x14ac:dyDescent="0.2">
      <c r="A57" s="9" t="s">
        <v>41</v>
      </c>
      <c r="B57" s="10">
        <v>122928</v>
      </c>
      <c r="C57" s="10">
        <v>120494</v>
      </c>
      <c r="D57" s="10">
        <v>2716</v>
      </c>
    </row>
    <row r="58" spans="1:4" x14ac:dyDescent="0.2">
      <c r="A58" s="2" t="s">
        <v>42</v>
      </c>
      <c r="B58" s="11">
        <f>SUM(B54:B57)</f>
        <v>494755</v>
      </c>
      <c r="C58" s="11">
        <f>SUM(C54:C57)</f>
        <v>458784</v>
      </c>
      <c r="D58" s="11">
        <f>SUM(D54:D57)</f>
        <v>31023</v>
      </c>
    </row>
    <row r="60" spans="1:4" x14ac:dyDescent="0.2">
      <c r="A60" s="12" t="s">
        <v>62</v>
      </c>
    </row>
    <row r="61" spans="1:4" ht="30" customHeight="1" x14ac:dyDescent="0.2">
      <c r="A61" s="13" t="s">
        <v>63</v>
      </c>
      <c r="B61" s="14"/>
      <c r="C61" s="14"/>
      <c r="D61" s="14"/>
    </row>
    <row r="63" spans="1:4" ht="16" x14ac:dyDescent="0.2">
      <c r="A63" s="6" t="s">
        <v>64</v>
      </c>
      <c r="B63" s="7"/>
      <c r="C63" s="7"/>
      <c r="D63" s="7"/>
    </row>
    <row r="64" spans="1:4" x14ac:dyDescent="0.2">
      <c r="A64" s="8" t="s">
        <v>44</v>
      </c>
      <c r="B64" s="8" t="s">
        <v>65</v>
      </c>
    </row>
    <row r="65" spans="1:2" x14ac:dyDescent="0.2">
      <c r="A65" s="9" t="s">
        <v>46</v>
      </c>
      <c r="B65" s="10">
        <v>159.45976375824301</v>
      </c>
    </row>
    <row r="66" spans="1:2" x14ac:dyDescent="0.2">
      <c r="A66" s="9" t="s">
        <v>47</v>
      </c>
      <c r="B66" s="10">
        <v>154.22316568813801</v>
      </c>
    </row>
    <row r="67" spans="1:2" x14ac:dyDescent="0.2">
      <c r="A67" s="9" t="s">
        <v>48</v>
      </c>
      <c r="B67" s="10">
        <v>167.05288049822201</v>
      </c>
    </row>
    <row r="68" spans="1:2" x14ac:dyDescent="0.2">
      <c r="A68" s="9" t="s">
        <v>49</v>
      </c>
      <c r="B68" s="10">
        <v>165.08669768669</v>
      </c>
    </row>
    <row r="69" spans="1:2" x14ac:dyDescent="0.2">
      <c r="A69" s="9" t="s">
        <v>50</v>
      </c>
      <c r="B69" s="10">
        <v>158.25084560449901</v>
      </c>
    </row>
    <row r="70" spans="1:2" x14ac:dyDescent="0.2">
      <c r="A70" s="9" t="s">
        <v>51</v>
      </c>
      <c r="B70" s="10">
        <v>157.85760014836401</v>
      </c>
    </row>
    <row r="71" spans="1:2" x14ac:dyDescent="0.2">
      <c r="A71" s="9" t="s">
        <v>52</v>
      </c>
      <c r="B71" s="10">
        <v>151.114870818935</v>
      </c>
    </row>
    <row r="72" spans="1:2" x14ac:dyDescent="0.2">
      <c r="A72" s="9" t="s">
        <v>53</v>
      </c>
      <c r="B72" s="10">
        <v>152.72642200510001</v>
      </c>
    </row>
    <row r="73" spans="1:2" x14ac:dyDescent="0.2">
      <c r="A73" s="9" t="s">
        <v>54</v>
      </c>
      <c r="B73" s="10">
        <v>147.35140658049099</v>
      </c>
    </row>
    <row r="74" spans="1:2" x14ac:dyDescent="0.2">
      <c r="A74" s="9" t="s">
        <v>55</v>
      </c>
      <c r="B74" s="10">
        <v>153.65618166398201</v>
      </c>
    </row>
    <row r="75" spans="1:2" x14ac:dyDescent="0.2">
      <c r="A75" s="9" t="s">
        <v>56</v>
      </c>
      <c r="B75" s="10">
        <v>159.20835407854699</v>
      </c>
    </row>
    <row r="76" spans="1:2" x14ac:dyDescent="0.2">
      <c r="A76" s="9" t="s">
        <v>57</v>
      </c>
      <c r="B76" s="10">
        <v>242.27753294472799</v>
      </c>
    </row>
    <row r="77" spans="1:2" x14ac:dyDescent="0.2">
      <c r="A77" s="5" t="s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</sheetPr>
  <dimension ref="A1:C1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48" customWidth="1"/>
    <col min="2" max="2" width="14" customWidth="1"/>
    <col min="3" max="3" width="55" customWidth="1"/>
  </cols>
  <sheetData>
    <row r="1" spans="1:3" ht="18" x14ac:dyDescent="0.2">
      <c r="A1" s="1" t="s">
        <v>67</v>
      </c>
    </row>
    <row r="2" spans="1:3" ht="30" customHeight="1" x14ac:dyDescent="0.2">
      <c r="A2" s="5" t="s">
        <v>68</v>
      </c>
    </row>
    <row r="4" spans="1:3" x14ac:dyDescent="0.2">
      <c r="A4" s="15" t="s">
        <v>69</v>
      </c>
      <c r="B4" s="15" t="s">
        <v>70</v>
      </c>
      <c r="C4" s="15" t="s">
        <v>71</v>
      </c>
    </row>
    <row r="5" spans="1:3" ht="30" customHeight="1" x14ac:dyDescent="0.2">
      <c r="A5" s="9" t="s">
        <v>72</v>
      </c>
      <c r="B5" s="16">
        <v>-0.1</v>
      </c>
      <c r="C5" s="5" t="s">
        <v>73</v>
      </c>
    </row>
    <row r="6" spans="1:3" ht="30" customHeight="1" x14ac:dyDescent="0.2">
      <c r="A6" s="9" t="s">
        <v>74</v>
      </c>
      <c r="B6" s="16">
        <v>-0.05</v>
      </c>
      <c r="C6" s="5" t="s">
        <v>75</v>
      </c>
    </row>
    <row r="7" spans="1:3" ht="30" customHeight="1" x14ac:dyDescent="0.2">
      <c r="A7" s="9" t="s">
        <v>76</v>
      </c>
      <c r="B7" s="16">
        <v>0.1</v>
      </c>
      <c r="C7" s="5" t="s">
        <v>77</v>
      </c>
    </row>
    <row r="8" spans="1:3" ht="30" customHeight="1" x14ac:dyDescent="0.2">
      <c r="A8" s="9" t="s">
        <v>78</v>
      </c>
      <c r="B8" s="16">
        <v>1</v>
      </c>
      <c r="C8" s="5" t="s">
        <v>79</v>
      </c>
    </row>
    <row r="9" spans="1:3" ht="30" customHeight="1" x14ac:dyDescent="0.2">
      <c r="A9" s="9" t="s">
        <v>80</v>
      </c>
      <c r="B9" s="17">
        <v>4</v>
      </c>
      <c r="C9" s="5" t="s">
        <v>81</v>
      </c>
    </row>
    <row r="11" spans="1:3" x14ac:dyDescent="0.2">
      <c r="A11" s="2" t="s">
        <v>82</v>
      </c>
    </row>
    <row r="12" spans="1:3" x14ac:dyDescent="0.2">
      <c r="A12" t="s">
        <v>83</v>
      </c>
      <c r="B12" s="18">
        <f>B7*B8</f>
        <v>0.1</v>
      </c>
    </row>
    <row r="14" spans="1:3" x14ac:dyDescent="0.2">
      <c r="A14" s="4" t="s">
        <v>84</v>
      </c>
    </row>
    <row r="15" spans="1:3" x14ac:dyDescent="0.2">
      <c r="A15" s="4" t="s">
        <v>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D2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60.1640625" customWidth="1"/>
    <col min="2" max="3" width="20" customWidth="1"/>
    <col min="4" max="4" width="26" customWidth="1"/>
  </cols>
  <sheetData>
    <row r="1" spans="1:4" ht="18" x14ac:dyDescent="0.2">
      <c r="A1" s="1" t="s">
        <v>86</v>
      </c>
    </row>
    <row r="2" spans="1:4" x14ac:dyDescent="0.2">
      <c r="A2" s="5" t="s">
        <v>87</v>
      </c>
    </row>
    <row r="4" spans="1:4" x14ac:dyDescent="0.2">
      <c r="A4" s="15" t="s">
        <v>88</v>
      </c>
      <c r="B4" s="15" t="s">
        <v>89</v>
      </c>
      <c r="C4" s="15" t="s">
        <v>90</v>
      </c>
      <c r="D4" s="15" t="s">
        <v>91</v>
      </c>
    </row>
    <row r="6" spans="1:4" x14ac:dyDescent="0.2">
      <c r="A6" s="12" t="s">
        <v>92</v>
      </c>
    </row>
    <row r="7" spans="1:4" x14ac:dyDescent="0.2">
      <c r="A7" s="9" t="s">
        <v>93</v>
      </c>
      <c r="B7" s="19">
        <f>Inputs!B10</f>
        <v>42477.211522838603</v>
      </c>
      <c r="C7" s="19">
        <f>Inputs!B34</f>
        <v>30913</v>
      </c>
      <c r="D7" s="19">
        <f>Inputs!B58</f>
        <v>494755</v>
      </c>
    </row>
    <row r="8" spans="1:4" x14ac:dyDescent="0.2">
      <c r="A8" s="9" t="s">
        <v>94</v>
      </c>
      <c r="B8" s="19">
        <f>Inputs!C10</f>
        <v>66593.964881540407</v>
      </c>
      <c r="C8" s="19">
        <f>Inputs!C34</f>
        <v>62457</v>
      </c>
      <c r="D8" s="19">
        <f>Inputs!C58</f>
        <v>458784</v>
      </c>
    </row>
    <row r="9" spans="1:4" x14ac:dyDescent="0.2">
      <c r="A9" s="9" t="s">
        <v>95</v>
      </c>
      <c r="B9" s="19">
        <f>Inputs!D10</f>
        <v>161.00936933653588</v>
      </c>
      <c r="C9" s="19">
        <f>Inputs!D34</f>
        <v>449.98479999999995</v>
      </c>
      <c r="D9" s="19">
        <f>Inputs!D58</f>
        <v>31023</v>
      </c>
    </row>
    <row r="10" spans="1:4" x14ac:dyDescent="0.2">
      <c r="A10" s="9" t="s">
        <v>96</v>
      </c>
      <c r="B10" s="19">
        <f>Inputs!B26</f>
        <v>34748.870000000003</v>
      </c>
      <c r="C10" s="19">
        <f>Inputs!B50</f>
        <v>40589.861137999993</v>
      </c>
      <c r="D10" s="4" t="s">
        <v>97</v>
      </c>
    </row>
    <row r="12" spans="1:4" x14ac:dyDescent="0.2">
      <c r="A12" s="12" t="s">
        <v>98</v>
      </c>
    </row>
    <row r="13" spans="1:4" x14ac:dyDescent="0.2">
      <c r="A13" s="9" t="s">
        <v>72</v>
      </c>
      <c r="B13" s="20">
        <f>Scenarios!$B$5</f>
        <v>-0.1</v>
      </c>
      <c r="C13" s="20">
        <f>Scenarios!$B$5</f>
        <v>-0.1</v>
      </c>
      <c r="D13" s="4" t="s">
        <v>99</v>
      </c>
    </row>
    <row r="14" spans="1:4" x14ac:dyDescent="0.2">
      <c r="A14" s="9" t="s">
        <v>74</v>
      </c>
      <c r="B14" s="20">
        <f>Scenarios!$B$6</f>
        <v>-0.05</v>
      </c>
      <c r="C14" s="20">
        <f>Scenarios!$B$6</f>
        <v>-0.05</v>
      </c>
      <c r="D14" s="20">
        <f>Scenarios!$B$6</f>
        <v>-0.05</v>
      </c>
    </row>
    <row r="15" spans="1:4" x14ac:dyDescent="0.2">
      <c r="A15" s="9" t="s">
        <v>100</v>
      </c>
      <c r="B15" s="20">
        <f>Scenarios!$B$12</f>
        <v>0.1</v>
      </c>
      <c r="C15" s="20">
        <f>Scenarios!$B$12</f>
        <v>0.1</v>
      </c>
      <c r="D15" s="20">
        <f>Scenarios!$B$12</f>
        <v>0.1</v>
      </c>
    </row>
    <row r="17" spans="1:4" x14ac:dyDescent="0.2">
      <c r="A17" s="12" t="s">
        <v>101</v>
      </c>
    </row>
    <row r="18" spans="1:4" x14ac:dyDescent="0.2">
      <c r="A18" s="9" t="s">
        <v>102</v>
      </c>
      <c r="B18" s="21">
        <f>IF(ISNUMBER(B10),B10*B13,"N/A")</f>
        <v>-3474.8870000000006</v>
      </c>
      <c r="C18" s="21">
        <f>IF(ISNUMBER(C10),C10*C13,"N/A")</f>
        <v>-4058.9861137999997</v>
      </c>
      <c r="D18" s="22" t="str">
        <f>IF(ISNUMBER(D10),D10*D13,"N/A")</f>
        <v>N/A</v>
      </c>
    </row>
    <row r="19" spans="1:4" x14ac:dyDescent="0.2">
      <c r="A19" s="9" t="s">
        <v>103</v>
      </c>
      <c r="B19" s="21">
        <f>B7*B14</f>
        <v>-2123.8605761419303</v>
      </c>
      <c r="C19" s="21">
        <f>C7*C14</f>
        <v>-1545.65</v>
      </c>
      <c r="D19" s="21">
        <f>D7*D14</f>
        <v>-24737.75</v>
      </c>
    </row>
    <row r="20" spans="1:4" x14ac:dyDescent="0.2">
      <c r="A20" s="9" t="s">
        <v>104</v>
      </c>
      <c r="B20" s="21">
        <f>-1*B8*B15</f>
        <v>-6659.3964881540414</v>
      </c>
      <c r="C20" s="21">
        <f>-1*C8*C15</f>
        <v>-6245.7000000000007</v>
      </c>
      <c r="D20" s="21">
        <f>-1*D8*D15</f>
        <v>-45878.400000000001</v>
      </c>
    </row>
    <row r="22" spans="1:4" x14ac:dyDescent="0.2">
      <c r="A22" s="12" t="s">
        <v>105</v>
      </c>
    </row>
    <row r="23" spans="1:4" x14ac:dyDescent="0.2">
      <c r="A23" s="2" t="s">
        <v>106</v>
      </c>
      <c r="B23" s="11">
        <f>B18+B19+B20</f>
        <v>-12258.144064295971</v>
      </c>
      <c r="C23" s="11">
        <f>C18+C19+C20</f>
        <v>-11850.3361138</v>
      </c>
      <c r="D23" s="11">
        <f>D19+D20</f>
        <v>-70616.149999999994</v>
      </c>
    </row>
    <row r="24" spans="1:4" x14ac:dyDescent="0.2">
      <c r="A24" s="2" t="s">
        <v>107</v>
      </c>
      <c r="B24" s="23">
        <f>B9+B23</f>
        <v>-12097.134694959435</v>
      </c>
      <c r="C24" s="23">
        <f>C9+C23</f>
        <v>-11400.3513138</v>
      </c>
      <c r="D24" s="23">
        <f>D9+D23</f>
        <v>-39593.149999999994</v>
      </c>
    </row>
    <row r="25" spans="1:4" x14ac:dyDescent="0.2">
      <c r="A25" s="9" t="s">
        <v>80</v>
      </c>
      <c r="B25" s="24">
        <f>Scenarios!$B$9</f>
        <v>4</v>
      </c>
      <c r="C25" s="24">
        <f>Scenarios!$B$9</f>
        <v>4</v>
      </c>
      <c r="D25" s="24">
        <f>Scenarios!$B$9</f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23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6" customWidth="1"/>
    <col min="2" max="2" width="28" customWidth="1"/>
    <col min="3" max="3" width="40" customWidth="1"/>
    <col min="4" max="4" width="16" customWidth="1"/>
    <col min="5" max="5" width="18" customWidth="1"/>
    <col min="6" max="6" width="24" customWidth="1"/>
    <col min="7" max="7" width="26" customWidth="1"/>
  </cols>
  <sheetData>
    <row r="1" spans="1:7" ht="18" x14ac:dyDescent="0.2">
      <c r="A1" s="1" t="s">
        <v>108</v>
      </c>
    </row>
    <row r="3" spans="1:7" x14ac:dyDescent="0.2">
      <c r="A3" s="15" t="s">
        <v>109</v>
      </c>
      <c r="B3" s="15" t="s">
        <v>110</v>
      </c>
      <c r="C3" s="15" t="s">
        <v>111</v>
      </c>
      <c r="D3" s="15" t="s">
        <v>112</v>
      </c>
      <c r="E3" s="15" t="s">
        <v>113</v>
      </c>
      <c r="F3" s="15" t="s">
        <v>114</v>
      </c>
      <c r="G3" s="15" t="s">
        <v>115</v>
      </c>
    </row>
    <row r="4" spans="1:7" x14ac:dyDescent="0.2">
      <c r="A4" s="2" t="s">
        <v>89</v>
      </c>
      <c r="B4" s="19">
        <f>Calculations!B9</f>
        <v>161.00936933653588</v>
      </c>
      <c r="C4" s="19">
        <f>Calculations!B18</f>
        <v>-3474.8870000000006</v>
      </c>
      <c r="D4" s="19">
        <f>Calculations!B19</f>
        <v>-2123.8605761419303</v>
      </c>
      <c r="E4" s="19">
        <f>Calculations!B20</f>
        <v>-6659.3964881540414</v>
      </c>
      <c r="F4" s="11">
        <f>Calculations!B23</f>
        <v>-12258.144064295971</v>
      </c>
      <c r="G4" s="11">
        <f>Calculations!B24</f>
        <v>-12097.134694959435</v>
      </c>
    </row>
    <row r="5" spans="1:7" x14ac:dyDescent="0.2">
      <c r="A5" s="2" t="s">
        <v>90</v>
      </c>
      <c r="B5" s="19">
        <f>Calculations!C9</f>
        <v>449.98479999999995</v>
      </c>
      <c r="C5" s="19">
        <f>Calculations!C18</f>
        <v>-4058.9861137999997</v>
      </c>
      <c r="D5" s="19">
        <f>Calculations!C19</f>
        <v>-1545.65</v>
      </c>
      <c r="E5" s="19">
        <f>Calculations!C20</f>
        <v>-6245.7000000000007</v>
      </c>
      <c r="F5" s="11">
        <f>Calculations!C23</f>
        <v>-11850.3361138</v>
      </c>
      <c r="G5" s="11">
        <f>Calculations!C24</f>
        <v>-11400.3513138</v>
      </c>
    </row>
    <row r="6" spans="1:7" x14ac:dyDescent="0.2">
      <c r="A6" s="2" t="s">
        <v>91</v>
      </c>
      <c r="B6" s="19">
        <f>Calculations!D9</f>
        <v>31023</v>
      </c>
      <c r="C6" s="19" t="str">
        <f>Calculations!D18</f>
        <v>N/A</v>
      </c>
      <c r="D6" s="19">
        <f>Calculations!D19</f>
        <v>-24737.75</v>
      </c>
      <c r="E6" s="19">
        <f>Calculations!D20</f>
        <v>-45878.400000000001</v>
      </c>
      <c r="F6" s="11">
        <f>Calculations!D23</f>
        <v>-70616.149999999994</v>
      </c>
      <c r="G6" s="11">
        <f>Calculations!D24</f>
        <v>-39593.149999999994</v>
      </c>
    </row>
    <row r="7" spans="1:7" x14ac:dyDescent="0.2">
      <c r="A7" s="4" t="s">
        <v>116</v>
      </c>
    </row>
    <row r="8" spans="1:7" ht="18" customHeight="1" x14ac:dyDescent="0.2">
      <c r="A8" s="4" t="s">
        <v>117</v>
      </c>
    </row>
    <row r="11" spans="1:7" x14ac:dyDescent="0.2">
      <c r="A11" s="2" t="s">
        <v>118</v>
      </c>
    </row>
    <row r="12" spans="1:7" x14ac:dyDescent="0.2">
      <c r="A12" s="15" t="s">
        <v>109</v>
      </c>
      <c r="B12" s="15" t="s">
        <v>119</v>
      </c>
      <c r="C12" s="15" t="s">
        <v>107</v>
      </c>
    </row>
    <row r="13" spans="1:7" x14ac:dyDescent="0.2">
      <c r="A13" s="9" t="s">
        <v>89</v>
      </c>
      <c r="B13" s="9" t="s">
        <v>120</v>
      </c>
      <c r="C13" s="19">
        <f>Calculations!B9</f>
        <v>161.00936933653588</v>
      </c>
    </row>
    <row r="14" spans="1:7" x14ac:dyDescent="0.2">
      <c r="A14" s="9" t="s">
        <v>89</v>
      </c>
      <c r="B14" s="9" t="s">
        <v>121</v>
      </c>
      <c r="C14" s="19">
        <f>Calculations!B9+Calculations!B18</f>
        <v>-3313.8776306634645</v>
      </c>
    </row>
    <row r="15" spans="1:7" x14ac:dyDescent="0.2">
      <c r="A15" s="9" t="s">
        <v>89</v>
      </c>
      <c r="B15" s="9" t="s">
        <v>122</v>
      </c>
      <c r="C15" s="19">
        <f>Calculations!B9+Calculations!B19</f>
        <v>-1962.8512068053944</v>
      </c>
    </row>
    <row r="16" spans="1:7" x14ac:dyDescent="0.2">
      <c r="A16" s="9" t="s">
        <v>89</v>
      </c>
      <c r="B16" s="9" t="s">
        <v>123</v>
      </c>
      <c r="C16" s="19">
        <f>Calculations!B9+Calculations!B20</f>
        <v>-6498.3871188175053</v>
      </c>
    </row>
    <row r="17" spans="1:3" x14ac:dyDescent="0.2">
      <c r="A17" s="9" t="s">
        <v>89</v>
      </c>
      <c r="B17" s="9" t="s">
        <v>124</v>
      </c>
      <c r="C17" s="25">
        <f>Calculations!B9+Calculations!B23</f>
        <v>-12097.134694959435</v>
      </c>
    </row>
    <row r="19" spans="1:3" x14ac:dyDescent="0.2">
      <c r="A19" s="9" t="s">
        <v>90</v>
      </c>
      <c r="B19" s="9" t="s">
        <v>120</v>
      </c>
      <c r="C19" s="19">
        <f>Calculations!C9</f>
        <v>449.98479999999995</v>
      </c>
    </row>
    <row r="20" spans="1:3" x14ac:dyDescent="0.2">
      <c r="A20" s="9" t="s">
        <v>90</v>
      </c>
      <c r="B20" s="9" t="s">
        <v>121</v>
      </c>
      <c r="C20" s="19">
        <f>Calculations!C9+Calculations!C18</f>
        <v>-3609.0013137999995</v>
      </c>
    </row>
    <row r="21" spans="1:3" x14ac:dyDescent="0.2">
      <c r="A21" s="9" t="s">
        <v>90</v>
      </c>
      <c r="B21" s="9" t="s">
        <v>122</v>
      </c>
      <c r="C21" s="19">
        <f>Calculations!C9+Calculations!C19</f>
        <v>-1095.6652000000001</v>
      </c>
    </row>
    <row r="22" spans="1:3" x14ac:dyDescent="0.2">
      <c r="A22" s="9" t="s">
        <v>90</v>
      </c>
      <c r="B22" s="9" t="s">
        <v>123</v>
      </c>
      <c r="C22" s="19">
        <f>Calculations!C9+Calculations!C20</f>
        <v>-5795.7152000000006</v>
      </c>
    </row>
    <row r="23" spans="1:3" x14ac:dyDescent="0.2">
      <c r="A23" s="9" t="s">
        <v>90</v>
      </c>
      <c r="B23" s="9" t="s">
        <v>124</v>
      </c>
      <c r="C23" s="25">
        <f>Calculations!C9+Calculations!C23</f>
        <v>-11400.3513138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95959"/>
  </sheetPr>
  <dimension ref="A1:D39"/>
  <sheetViews>
    <sheetView showGridLines="0" tabSelected="1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55" customWidth="1"/>
    <col min="2" max="3" width="20" customWidth="1"/>
    <col min="4" max="4" width="45" customWidth="1"/>
  </cols>
  <sheetData>
    <row r="1" spans="1:4" ht="18" x14ac:dyDescent="0.2">
      <c r="A1" s="1" t="s">
        <v>125</v>
      </c>
    </row>
    <row r="2" spans="1:4" x14ac:dyDescent="0.2">
      <c r="A2" s="5" t="s">
        <v>126</v>
      </c>
    </row>
    <row r="4" spans="1:4" x14ac:dyDescent="0.2">
      <c r="A4" s="15" t="s">
        <v>127</v>
      </c>
      <c r="B4" s="15" t="s">
        <v>128</v>
      </c>
      <c r="C4" s="15" t="s">
        <v>129</v>
      </c>
      <c r="D4" s="15" t="s">
        <v>71</v>
      </c>
    </row>
    <row r="5" spans="1:4" x14ac:dyDescent="0.2">
      <c r="A5" s="9" t="s">
        <v>130</v>
      </c>
      <c r="B5" s="2" t="str">
        <f>IF(AND(COUNT(Inputs!B6:B9)=4,COUNT(Inputs!C6:C9)=4,COUNT(Inputs!D6:D9)=4),"PASS","FAIL")</f>
        <v>PASS</v>
      </c>
      <c r="D5" s="5"/>
    </row>
    <row r="6" spans="1:4" x14ac:dyDescent="0.2">
      <c r="A6" s="9" t="s">
        <v>131</v>
      </c>
      <c r="B6" s="2" t="str">
        <f>IF(AND(COUNT(Inputs!B30:B33)=4,COUNT(Inputs!C30:C33)=4,COUNT(Inputs!D30:D33)=4),"PASS","FAIL")</f>
        <v>PASS</v>
      </c>
      <c r="D6" s="5"/>
    </row>
    <row r="7" spans="1:4" x14ac:dyDescent="0.2">
      <c r="A7" s="9" t="s">
        <v>132</v>
      </c>
      <c r="B7" s="2" t="str">
        <f>IF(AND(COUNT(Inputs!B54:B57)=4,COUNT(Inputs!C54:C57)=4,COUNT(Inputs!D54:D57)=4),"PASS","FAIL")</f>
        <v>PASS</v>
      </c>
      <c r="D7" s="5"/>
    </row>
    <row r="8" spans="1:4" x14ac:dyDescent="0.2">
      <c r="A8" s="9" t="s">
        <v>133</v>
      </c>
      <c r="B8" s="2" t="str">
        <f>IF(COUNT(Inputs!B14:B25)=12,"PASS","FAIL")</f>
        <v>PASS</v>
      </c>
      <c r="D8" s="5"/>
    </row>
    <row r="9" spans="1:4" x14ac:dyDescent="0.2">
      <c r="A9" s="9" t="s">
        <v>134</v>
      </c>
      <c r="B9" s="2" t="str">
        <f>IF(COUNT(Inputs!B38:B49)=12,"PASS","FAIL")</f>
        <v>PASS</v>
      </c>
      <c r="D9" s="5"/>
    </row>
    <row r="10" spans="1:4" x14ac:dyDescent="0.2">
      <c r="A10" s="9" t="s">
        <v>135</v>
      </c>
      <c r="B10" s="2" t="str">
        <f>IF(AND(ISTEXT(Calculations!D10),ISTEXT(Calculations!D18),NOT(ISNUMBER(Calculations!D18))),"PASS","FAIL")</f>
        <v>PASS</v>
      </c>
      <c r="D10" s="5"/>
    </row>
    <row r="11" spans="1:4" x14ac:dyDescent="0.2">
      <c r="A11" s="9" t="s">
        <v>136</v>
      </c>
      <c r="B11" s="2" t="str">
        <f>IF(AND(ISTEXT(Calculations!D13),Calculations!D13="N/A",NOT(ISNUMBER(Calculations!D13))),"PASS","FAIL")</f>
        <v>PASS</v>
      </c>
      <c r="D11" s="5"/>
    </row>
    <row r="12" spans="1:4" x14ac:dyDescent="0.2">
      <c r="A12" s="9" t="s">
        <v>137</v>
      </c>
      <c r="B12" s="2" t="str">
        <f>IF(ABS(Calculations!B23-(Calculations!B18+Calculations!B19+Calculations!B20))&lt;0.01,"PASS","FAIL")</f>
        <v>PASS</v>
      </c>
      <c r="D12" s="5"/>
    </row>
    <row r="13" spans="1:4" x14ac:dyDescent="0.2">
      <c r="A13" s="9" t="s">
        <v>138</v>
      </c>
      <c r="B13" s="2" t="str">
        <f>IF(ABS(Calculations!C23-(Calculations!C18+Calculations!C19+Calculations!C20))&lt;0.01,"PASS","FAIL")</f>
        <v>PASS</v>
      </c>
      <c r="D13" s="5"/>
    </row>
    <row r="14" spans="1:4" x14ac:dyDescent="0.2">
      <c r="A14" s="9" t="s">
        <v>139</v>
      </c>
      <c r="B14" s="2" t="str">
        <f>IF(ABS(Calculations!D23-(Calculations!D19+Calculations!D20))&lt;0.01,"PASS","FAIL")</f>
        <v>PASS</v>
      </c>
      <c r="D14" s="5"/>
    </row>
    <row r="15" spans="1:4" x14ac:dyDescent="0.2">
      <c r="A15" s="9" t="s">
        <v>140</v>
      </c>
      <c r="B15" s="2" t="str">
        <f>IF(ABS(Calculations!B24-(Calculations!B9+Calculations!B23))&lt;0.01,"PASS","FAIL")</f>
        <v>PASS</v>
      </c>
      <c r="D15" s="5"/>
    </row>
    <row r="16" spans="1:4" x14ac:dyDescent="0.2">
      <c r="A16" s="9" t="s">
        <v>141</v>
      </c>
      <c r="B16" s="2" t="str">
        <f>IF(ABS(Calculations!C24-(Calculations!C9+Calculations!C23))&lt;0.01,"PASS","FAIL")</f>
        <v>PASS</v>
      </c>
      <c r="D16" s="5"/>
    </row>
    <row r="17" spans="1:4" x14ac:dyDescent="0.2">
      <c r="A17" s="9" t="s">
        <v>142</v>
      </c>
      <c r="B17" s="2" t="str">
        <f>IF(ABS(Calculations!D24-(Calculations!D9+Calculations!D23))&lt;0.01,"PASS","FAIL")</f>
        <v>PASS</v>
      </c>
      <c r="D17" s="5"/>
    </row>
    <row r="18" spans="1:4" x14ac:dyDescent="0.2">
      <c r="A18" s="9" t="s">
        <v>143</v>
      </c>
      <c r="B18" s="2" t="str">
        <f>IF(AND(Calculations!B25=4,Calculations!C25=4,Calculations!D25=4,Scenarios!B9=4),"PASS","FAIL")</f>
        <v>PASS</v>
      </c>
      <c r="D18" s="5"/>
    </row>
    <row r="19" spans="1:4" x14ac:dyDescent="0.2">
      <c r="A19" s="12" t="s">
        <v>144</v>
      </c>
    </row>
    <row r="20" spans="1:4" x14ac:dyDescent="0.2">
      <c r="A20" s="9" t="s">
        <v>145</v>
      </c>
      <c r="B20" s="2" t="str">
        <f>IF(ROUND(Calculations!B7,2)=ROUND(C20,2),"PASS","FAIL")</f>
        <v>PASS</v>
      </c>
      <c r="C20" s="10">
        <v>42477.21</v>
      </c>
      <c r="D20" s="5" t="s">
        <v>146</v>
      </c>
    </row>
    <row r="21" spans="1:4" x14ac:dyDescent="0.2">
      <c r="A21" s="9" t="s">
        <v>147</v>
      </c>
      <c r="B21" s="2" t="str">
        <f>IF(ROUND(Calculations!B8,2)=ROUND(C21,2),"PASS","FAIL")</f>
        <v>PASS</v>
      </c>
      <c r="C21" s="10">
        <v>66593.960000000006</v>
      </c>
      <c r="D21" s="5" t="s">
        <v>146</v>
      </c>
    </row>
    <row r="22" spans="1:4" x14ac:dyDescent="0.2">
      <c r="A22" s="9" t="s">
        <v>148</v>
      </c>
      <c r="B22" s="2" t="str">
        <f>IF(ROUND(Calculations!B9,2)=ROUND(C22,2),"PASS","FAIL")</f>
        <v>PASS</v>
      </c>
      <c r="C22" s="10">
        <v>161.01</v>
      </c>
      <c r="D22" s="5" t="s">
        <v>146</v>
      </c>
    </row>
    <row r="23" spans="1:4" x14ac:dyDescent="0.2">
      <c r="A23" s="9" t="s">
        <v>149</v>
      </c>
      <c r="B23" s="2" t="str">
        <f>IF(ROUND(Calculations!B10,2)=ROUND(C23,2),"PASS","FAIL")</f>
        <v>PASS</v>
      </c>
      <c r="C23" s="10" t="s">
        <v>150</v>
      </c>
      <c r="D23" s="5" t="s">
        <v>146</v>
      </c>
    </row>
    <row r="24" spans="1:4" x14ac:dyDescent="0.2">
      <c r="A24" s="9" t="s">
        <v>151</v>
      </c>
      <c r="B24" s="2" t="str">
        <f>IF(ROUND(Calculations!C7,2)=ROUND(C24,2),"PASS","FAIL")</f>
        <v>PASS</v>
      </c>
      <c r="C24" s="10">
        <v>30913</v>
      </c>
      <c r="D24" s="5" t="s">
        <v>146</v>
      </c>
    </row>
    <row r="25" spans="1:4" x14ac:dyDescent="0.2">
      <c r="A25" s="9" t="s">
        <v>152</v>
      </c>
      <c r="B25" s="2" t="str">
        <f>IF(ROUND(Calculations!C8,2)=ROUND(C25,2),"PASS","FAIL")</f>
        <v>PASS</v>
      </c>
      <c r="C25" s="10">
        <v>62457</v>
      </c>
      <c r="D25" s="5" t="s">
        <v>146</v>
      </c>
    </row>
    <row r="26" spans="1:4" x14ac:dyDescent="0.2">
      <c r="A26" s="9" t="s">
        <v>153</v>
      </c>
      <c r="B26" s="2" t="str">
        <f>IF(ROUND(Calculations!C9,2)=ROUND(C26,2),"PASS","FAIL")</f>
        <v>PASS</v>
      </c>
      <c r="C26" s="10">
        <v>449.98</v>
      </c>
      <c r="D26" s="5" t="s">
        <v>146</v>
      </c>
    </row>
    <row r="27" spans="1:4" x14ac:dyDescent="0.2">
      <c r="A27" s="9" t="s">
        <v>154</v>
      </c>
      <c r="B27" s="2" t="str">
        <f>IF(ROUND(Calculations!C10,2)=ROUND(C27,2),"PASS","FAIL")</f>
        <v>PASS</v>
      </c>
      <c r="C27" s="10" t="s">
        <v>155</v>
      </c>
      <c r="D27" s="5" t="s">
        <v>146</v>
      </c>
    </row>
    <row r="28" spans="1:4" x14ac:dyDescent="0.2">
      <c r="A28" s="9" t="s">
        <v>156</v>
      </c>
      <c r="B28" s="2" t="str">
        <f>IF(ROUND(Calculations!D7,2)=ROUND(C28,2),"PASS","FAIL")</f>
        <v>PASS</v>
      </c>
      <c r="C28" s="10">
        <v>494755</v>
      </c>
      <c r="D28" s="5" t="s">
        <v>146</v>
      </c>
    </row>
    <row r="29" spans="1:4" x14ac:dyDescent="0.2">
      <c r="A29" s="9" t="s">
        <v>157</v>
      </c>
      <c r="B29" s="2" t="str">
        <f>IF(ROUND(Calculations!D8,2)=ROUND(C29,2),"PASS","FAIL")</f>
        <v>PASS</v>
      </c>
      <c r="C29" s="10">
        <v>458784</v>
      </c>
      <c r="D29" s="5" t="s">
        <v>146</v>
      </c>
    </row>
    <row r="30" spans="1:4" x14ac:dyDescent="0.2">
      <c r="A30" s="9" t="s">
        <v>158</v>
      </c>
      <c r="B30" s="2" t="str">
        <f>IF(ROUND(Calculations!D9,2)=ROUND(C30,2),"PASS","FAIL")</f>
        <v>PASS</v>
      </c>
      <c r="C30" s="10">
        <v>31023</v>
      </c>
      <c r="D30" s="5" t="s">
        <v>146</v>
      </c>
    </row>
    <row r="31" spans="1:4" x14ac:dyDescent="0.2">
      <c r="A31" s="12" t="s">
        <v>159</v>
      </c>
    </row>
    <row r="32" spans="1:4" x14ac:dyDescent="0.2">
      <c r="A32" s="9" t="s">
        <v>160</v>
      </c>
      <c r="B32" s="2" t="str">
        <f>IF(ROUND(Calculations!B23,2)=ROUND(C32,2),"PASS","FAIL")</f>
        <v>PASS</v>
      </c>
      <c r="C32" s="10">
        <v>-12258.14</v>
      </c>
      <c r="D32" s="5" t="s">
        <v>161</v>
      </c>
    </row>
    <row r="33" spans="1:4" x14ac:dyDescent="0.2">
      <c r="A33" s="9" t="s">
        <v>162</v>
      </c>
      <c r="B33" s="2" t="str">
        <f>IF(ROUND(Calculations!B24,2)=ROUND(C33,2),"PASS","FAIL")</f>
        <v>PASS</v>
      </c>
      <c r="C33" s="10">
        <v>-12097.13</v>
      </c>
      <c r="D33" s="5" t="s">
        <v>161</v>
      </c>
    </row>
    <row r="34" spans="1:4" x14ac:dyDescent="0.2">
      <c r="A34" s="9" t="s">
        <v>163</v>
      </c>
      <c r="B34" s="2" t="str">
        <f>IF(ROUND(Calculations!C23,2)=ROUND(C34,2),"PASS","FAIL")</f>
        <v>PASS</v>
      </c>
      <c r="C34" s="10">
        <v>-11850.34</v>
      </c>
      <c r="D34" s="5" t="s">
        <v>161</v>
      </c>
    </row>
    <row r="35" spans="1:4" x14ac:dyDescent="0.2">
      <c r="A35" s="9" t="s">
        <v>164</v>
      </c>
      <c r="B35" s="2" t="str">
        <f>IF(ROUND(Calculations!C24,2)=ROUND(C35,2),"PASS","FAIL")</f>
        <v>PASS</v>
      </c>
      <c r="C35" s="10">
        <v>-11400.35</v>
      </c>
      <c r="D35" s="5" t="s">
        <v>161</v>
      </c>
    </row>
    <row r="36" spans="1:4" x14ac:dyDescent="0.2">
      <c r="A36" s="9" t="s">
        <v>165</v>
      </c>
      <c r="B36" s="2" t="str">
        <f>IF(ROUND(Calculations!D23,2)=ROUND(C36,2),"PASS","FAIL")</f>
        <v>PASS</v>
      </c>
      <c r="C36" s="10">
        <v>-70616.149999999994</v>
      </c>
      <c r="D36" s="5" t="s">
        <v>161</v>
      </c>
    </row>
    <row r="37" spans="1:4" x14ac:dyDescent="0.2">
      <c r="A37" s="9" t="s">
        <v>166</v>
      </c>
      <c r="B37" s="2" t="str">
        <f>IF(ROUND(Calculations!D24,2)=ROUND(C37,2),"PASS","FAIL")</f>
        <v>PASS</v>
      </c>
      <c r="C37" s="10">
        <v>-39593.15</v>
      </c>
      <c r="D37" s="5" t="s">
        <v>161</v>
      </c>
    </row>
    <row r="39" spans="1:4" ht="16" x14ac:dyDescent="0.2">
      <c r="A39" s="26" t="s">
        <v>167</v>
      </c>
      <c r="B39" s="27" t="str">
        <f>IF(COUNTIF(B5:B37,"FAIL")=0,"ALL CHECKS PASSED","REVIEW REQUIRED")</f>
        <v>ALL CHECKS PASSED</v>
      </c>
    </row>
  </sheetData>
  <conditionalFormatting sqref="B5:B39">
    <cfRule type="cellIs" dxfId="3" priority="2" operator="equal">
      <formula>"PASS"</formula>
    </cfRule>
    <cfRule type="cellIs" dxfId="2" priority="3" operator="equal">
      <formula>"ALL CHECKS PASSED"</formula>
    </cfRule>
    <cfRule type="cellIs" dxfId="1" priority="4" operator="equal">
      <formula>"FAIL"</formula>
    </cfRule>
    <cfRule type="cellIs" dxfId="0" priority="5" operator="equal">
      <formula>"REVIEW REQUIRED"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Scenarios</vt:lpstr>
      <vt:lpstr>Calculations</vt:lpstr>
      <vt:lpstr>Summary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Ziba Mahdi</cp:lastModifiedBy>
  <cp:revision>0</cp:revision>
  <dcterms:created xsi:type="dcterms:W3CDTF">2026-09-28T10:52:56Z</dcterms:created>
  <dcterms:modified xsi:type="dcterms:W3CDTF">2026-09-30T17:42:45Z</dcterms:modified>
  <dc:language>en-US</dc:language>
</cp:coreProperties>
</file>